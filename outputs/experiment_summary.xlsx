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adnya\CAPSTONE PROJECT\part2_kpi_experiment\outputs\"/>
    </mc:Choice>
  </mc:AlternateContent>
  <xr:revisionPtr revIDLastSave="0" documentId="13_ncr:1_{05B46995-1C26-4D3F-A3E6-D6D09539D589}" xr6:coauthVersionLast="47" xr6:coauthVersionMax="47" xr10:uidLastSave="{00000000-0000-0000-0000-000000000000}"/>
  <bookViews>
    <workbookView xWindow="0" yWindow="360" windowWidth="19420" windowHeight="10300" xr2:uid="{EC26A988-D261-48CE-8AFA-8A67A3EF641A}"/>
  </bookViews>
  <sheets>
    <sheet name="experiment_summary_repo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1" l="1"/>
  <c r="N30" i="1" s="1"/>
  <c r="P30" i="1" s="1"/>
  <c r="J30" i="1"/>
  <c r="C23" i="1"/>
  <c r="L32" i="1" s="1"/>
  <c r="C22" i="1"/>
  <c r="J32" i="1" s="1"/>
  <c r="O15" i="1"/>
  <c r="L29" i="1" s="1"/>
  <c r="K15" i="1"/>
  <c r="L28" i="1" s="1"/>
  <c r="G15" i="1"/>
  <c r="L27" i="1" s="1"/>
  <c r="C15" i="1"/>
  <c r="L31" i="1" s="1"/>
  <c r="N31" i="1" s="1"/>
  <c r="P31" i="1" s="1"/>
  <c r="O14" i="1"/>
  <c r="J29" i="1" s="1"/>
  <c r="K14" i="1"/>
  <c r="J28" i="1" s="1"/>
  <c r="G14" i="1"/>
  <c r="J27" i="1" s="1"/>
  <c r="C14" i="1"/>
  <c r="J31" i="1" s="1"/>
  <c r="S7" i="1"/>
  <c r="L26" i="1" s="1"/>
  <c r="N26" i="1" s="1"/>
  <c r="P26" i="1" s="1"/>
  <c r="O7" i="1"/>
  <c r="L25" i="1" s="1"/>
  <c r="N25" i="1" s="1"/>
  <c r="P25" i="1" s="1"/>
  <c r="K7" i="1"/>
  <c r="L24" i="1" s="1"/>
  <c r="N24" i="1" s="1"/>
  <c r="P24" i="1" s="1"/>
  <c r="G7" i="1"/>
  <c r="L23" i="1" s="1"/>
  <c r="N23" i="1" s="1"/>
  <c r="P23" i="1" s="1"/>
  <c r="C7" i="1"/>
  <c r="L22" i="1" s="1"/>
  <c r="N22" i="1" s="1"/>
  <c r="P22" i="1" s="1"/>
  <c r="S6" i="1"/>
  <c r="J26" i="1" s="1"/>
  <c r="O6" i="1"/>
  <c r="J25" i="1" s="1"/>
  <c r="K6" i="1"/>
  <c r="J24" i="1" s="1"/>
  <c r="G6" i="1"/>
  <c r="J23" i="1" s="1"/>
  <c r="C6" i="1"/>
  <c r="J22" i="1" s="1"/>
  <c r="N27" i="1" l="1"/>
  <c r="P27" i="1" s="1"/>
  <c r="N28" i="1"/>
  <c r="P28" i="1" s="1"/>
  <c r="N29" i="1"/>
  <c r="P29" i="1" s="1"/>
  <c r="N32" i="1"/>
  <c r="P32" i="1" s="1"/>
</calcChain>
</file>

<file path=xl/sharedStrings.xml><?xml version="1.0" encoding="utf-8"?>
<sst xmlns="http://schemas.openxmlformats.org/spreadsheetml/2006/main" count="73" uniqueCount="32">
  <si>
    <t>EXPERIMENT SUMMARY</t>
  </si>
  <si>
    <t>USER COUNT</t>
  </si>
  <si>
    <t>LANDING PAGE VISIT RATE</t>
  </si>
  <si>
    <t>TRIAL START RATE</t>
  </si>
  <si>
    <t>ONBOARDING COMPLETION</t>
  </si>
  <si>
    <t>PAID CONVERSION</t>
  </si>
  <si>
    <t>Group</t>
  </si>
  <si>
    <t>Users</t>
  </si>
  <si>
    <t xml:space="preserve">Group </t>
  </si>
  <si>
    <t>Control</t>
  </si>
  <si>
    <t>Treatment</t>
  </si>
  <si>
    <t>ENGAGEMENT SCORE</t>
  </si>
  <si>
    <t>ARPU</t>
  </si>
  <si>
    <t>ARPCU</t>
  </si>
  <si>
    <t>REFUND RATE</t>
  </si>
  <si>
    <t>SUPPORT TICKET RATE</t>
  </si>
  <si>
    <t>DAYS TO CONVERT</t>
  </si>
  <si>
    <t>SUMMARY TABLE</t>
  </si>
  <si>
    <t>Metric</t>
  </si>
  <si>
    <t>Difference</t>
  </si>
  <si>
    <t>Status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</si>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</sst>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0" borderId="0" xfId="0" applyFont="1"/>
    <xf numFmtId="0" fontId="1" fillId="0" borderId="0" xfId="0" applyFont="1"/>
    <xf numFmtId="1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4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0" fontId="6" fillId="6" borderId="0" xfId="0" applyNumberFormat="1" applyFont="1" applyFill="1" applyAlignment="1">
      <alignment horizontal="center"/>
    </xf>
    <xf numFmtId="10" fontId="4" fillId="6" borderId="0" xfId="0" applyNumberFormat="1" applyFont="1" applyFill="1" applyAlignment="1">
      <alignment horizontal="center"/>
    </xf>
    <xf numFmtId="10" fontId="0" fillId="6" borderId="0" xfId="0" applyNumberForma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4" fillId="6" borderId="0" xfId="0" applyNumberFormat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6" fillId="6" borderId="0" xfId="0" applyNumberFormat="1" applyFont="1" applyFill="1" applyAlignment="1">
      <alignment horizontal="center"/>
    </xf>
    <xf numFmtId="1" fontId="4" fillId="6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vadnya\CAPSTONE%20PROJECT\part2_kpi_experiment\analysis\experiment_analysis.xlsx" TargetMode="External"/><Relationship Id="rId1" Type="http://schemas.openxmlformats.org/officeDocument/2006/relationships/externalLinkPath" Target="/Users/sarvadnya/CAPSTONE%20PROJECT/part2_kpi_experiment/analysis/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Data_Validation"/>
      <sheetName val="Experiment_Summary"/>
      <sheetName val="Segment_Analysis"/>
      <sheetName val="Hypothesis_Test"/>
      <sheetName val="KPI_Tree"/>
      <sheetName val="Guardrail_Metric"/>
      <sheetName val="Executive_Dashbo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8874-28AC-46FB-9DFA-696C7C642E45}">
  <dimension ref="A1:T32"/>
  <sheetViews>
    <sheetView showGridLines="0" tabSelected="1" zoomScale="56" zoomScaleNormal="56" workbookViewId="0">
      <selection activeCell="Z14" sqref="Z14"/>
    </sheetView>
  </sheetViews>
  <sheetFormatPr defaultRowHeight="14.5" x14ac:dyDescent="0.35"/>
  <sheetData>
    <row r="1" spans="1:20" ht="26" x14ac:dyDescent="0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x14ac:dyDescent="0.35">
      <c r="A3" s="2" t="s">
        <v>1</v>
      </c>
      <c r="B3" s="2"/>
      <c r="C3" s="2"/>
      <c r="E3" s="3" t="s">
        <v>2</v>
      </c>
      <c r="F3" s="3"/>
      <c r="G3" s="3"/>
      <c r="I3" s="3" t="s">
        <v>3</v>
      </c>
      <c r="J3" s="3"/>
      <c r="K3" s="3"/>
      <c r="M3" s="3" t="s">
        <v>4</v>
      </c>
      <c r="N3" s="3"/>
      <c r="O3" s="3"/>
      <c r="Q3" s="3" t="s">
        <v>5</v>
      </c>
      <c r="R3" s="3"/>
      <c r="S3" s="3"/>
    </row>
    <row r="5" spans="1:20" x14ac:dyDescent="0.35">
      <c r="A5" s="4" t="s">
        <v>6</v>
      </c>
      <c r="B5" s="4"/>
      <c r="C5" s="5" t="s">
        <v>7</v>
      </c>
      <c r="E5" s="4" t="s">
        <v>8</v>
      </c>
      <c r="F5" s="4"/>
      <c r="G5" s="6" t="s">
        <v>7</v>
      </c>
      <c r="I5" s="4" t="s">
        <v>8</v>
      </c>
      <c r="J5" s="4"/>
      <c r="K5" s="6" t="s">
        <v>7</v>
      </c>
      <c r="M5" s="4" t="s">
        <v>8</v>
      </c>
      <c r="N5" s="4"/>
      <c r="O5" s="6" t="s">
        <v>7</v>
      </c>
      <c r="Q5" s="4" t="s">
        <v>8</v>
      </c>
      <c r="R5" s="4"/>
      <c r="S5" s="6" t="s">
        <v>7</v>
      </c>
    </row>
    <row r="6" spans="1:20" x14ac:dyDescent="0.35">
      <c r="A6" s="7" t="s">
        <v>9</v>
      </c>
      <c r="B6" s="7"/>
      <c r="C6" s="8">
        <f>COUNTIF([1]!tbl_experiment[experiment_group],"Control")</f>
        <v>693</v>
      </c>
      <c r="E6" s="7" t="s">
        <v>9</v>
      </c>
      <c r="F6" s="9"/>
      <c r="G6" s="9">
        <f>AVERAGEIFS([1]!tbl_experiment[visited_landing_page],[1]!tbl_experiment[experiment_group],"Control")</f>
        <v>0.63636363636363635</v>
      </c>
      <c r="I6" s="7" t="s">
        <v>9</v>
      </c>
      <c r="K6" s="9">
        <f>AVERAGEIFS(
[1]!tbl_experiment[started_trial],
[1]!tbl_experiment[experiment_group],
"Control")</f>
        <v>0.25108225108225107</v>
      </c>
      <c r="M6" s="7" t="s">
        <v>9</v>
      </c>
      <c r="O6" s="9">
        <f>AVERAGEIFS(
[1]!tbl_experiment[completed_onboarding],
[1]!tbl_experiment[experiment_group],
"Control")</f>
        <v>0.15584415584415584</v>
      </c>
      <c r="Q6" s="7" t="s">
        <v>9</v>
      </c>
      <c r="S6" s="9">
        <f>AVERAGEIFS(
[1]!tbl_experiment[converted_to_paid],
[1]!tbl_experiment[experiment_group],
"Control")</f>
        <v>3.1746031746031744E-2</v>
      </c>
    </row>
    <row r="7" spans="1:20" x14ac:dyDescent="0.35">
      <c r="A7" s="7" t="s">
        <v>10</v>
      </c>
      <c r="B7" s="7"/>
      <c r="C7" s="8">
        <f>COUNTIF([1]!tbl_experiment[experiment_group],"Treatment")</f>
        <v>715</v>
      </c>
      <c r="E7" s="7" t="s">
        <v>10</v>
      </c>
      <c r="F7" s="9"/>
      <c r="G7" s="9">
        <f>AVERAGEIFS(
[1]!tbl_experiment[visited_landing_page],
[1]!tbl_experiment[experiment_group],
"Treatment")</f>
        <v>0.72587412587412592</v>
      </c>
      <c r="I7" s="7" t="s">
        <v>10</v>
      </c>
      <c r="K7" s="9">
        <f>AVERAGEIFS(
[1]!tbl_experiment[started_trial],
[1]!tbl_experiment[experiment_group],
"Treatment")</f>
        <v>0.29090909090909089</v>
      </c>
      <c r="M7" s="7" t="s">
        <v>10</v>
      </c>
      <c r="O7" s="9">
        <f>AVERAGEIFS(
[1]!tbl_experiment[completed_onboarding],
[1]!tbl_experiment[experiment_group],
"Treatment")</f>
        <v>0.21258741258741259</v>
      </c>
      <c r="Q7" s="7" t="s">
        <v>10</v>
      </c>
      <c r="S7" s="9">
        <f>AVERAGEIFS(
[1]!tbl_experiment[converted_to_paid],
[1]!tbl_experiment[experiment_group],
"Treatment")</f>
        <v>6.9930069930069935E-2</v>
      </c>
    </row>
    <row r="11" spans="1:20" x14ac:dyDescent="0.35">
      <c r="A11" s="3" t="s">
        <v>11</v>
      </c>
      <c r="B11" s="3"/>
      <c r="C11" s="3"/>
      <c r="E11" s="3" t="s">
        <v>12</v>
      </c>
      <c r="F11" s="3"/>
      <c r="G11" s="3"/>
      <c r="I11" s="3" t="s">
        <v>13</v>
      </c>
      <c r="J11" s="3"/>
      <c r="K11" s="3"/>
      <c r="M11" s="3" t="s">
        <v>14</v>
      </c>
      <c r="N11" s="3"/>
      <c r="O11" s="3"/>
      <c r="Q11" s="3" t="s">
        <v>15</v>
      </c>
      <c r="R11" s="3"/>
      <c r="S11" s="3"/>
    </row>
    <row r="13" spans="1:20" x14ac:dyDescent="0.35">
      <c r="A13" s="4" t="s">
        <v>8</v>
      </c>
      <c r="B13" s="4"/>
      <c r="C13" s="6" t="s">
        <v>7</v>
      </c>
      <c r="E13" s="4" t="s">
        <v>8</v>
      </c>
      <c r="F13" s="4"/>
      <c r="G13" s="6" t="s">
        <v>7</v>
      </c>
      <c r="I13" s="4" t="s">
        <v>8</v>
      </c>
      <c r="J13" s="4"/>
      <c r="K13" s="6" t="s">
        <v>7</v>
      </c>
      <c r="M13" s="4" t="s">
        <v>8</v>
      </c>
      <c r="N13" s="4"/>
      <c r="O13" s="6" t="s">
        <v>7</v>
      </c>
      <c r="Q13" s="4" t="s">
        <v>8</v>
      </c>
      <c r="R13" s="4"/>
      <c r="S13" s="6" t="s">
        <v>7</v>
      </c>
    </row>
    <row r="14" spans="1:20" x14ac:dyDescent="0.35">
      <c r="A14" s="7" t="s">
        <v>9</v>
      </c>
      <c r="C14" s="10">
        <f>AVERAGEIFS(
[1]!tbl_experiment[engagement_score],
[1]!tbl_experiment[experiment_group],
"Control")</f>
        <v>57.026200873362491</v>
      </c>
      <c r="E14" s="7" t="s">
        <v>9</v>
      </c>
      <c r="G14" s="11">
        <f>AVERAGEIFS(
[1]!tbl_experiment[revenue_30d],
[1]!tbl_experiment[experiment_group],
"Control")</f>
        <v>51.74932178932179</v>
      </c>
      <c r="I14" s="7" t="s">
        <v>9</v>
      </c>
      <c r="K14" s="11">
        <f>AVERAGEIFS(
[1]!tbl_experiment[revenue_30d],
[1]!tbl_experiment[experiment_group],"Control",
[1]!tbl_experiment[converted_to_paid],1)</f>
        <v>1630.1036363636363</v>
      </c>
      <c r="M14" s="7" t="s">
        <v>9</v>
      </c>
      <c r="O14" s="9">
        <f>AVERAGEIFS(
[1]!tbl_experiment[refund_requested],
[1]!tbl_experiment[experiment_group],
"Control")</f>
        <v>0</v>
      </c>
      <c r="Q14" s="7" t="s">
        <v>9</v>
      </c>
      <c r="S14" s="9">
        <v>0.1472</v>
      </c>
    </row>
    <row r="15" spans="1:20" x14ac:dyDescent="0.35">
      <c r="A15" s="7" t="s">
        <v>10</v>
      </c>
      <c r="C15" s="10">
        <f>AVERAGEIFS(
[1]!tbl_experiment[engagement_score],
[1]!tbl_experiment[experiment_group],
"Treatment")</f>
        <v>62.931966053748233</v>
      </c>
      <c r="E15" s="7" t="s">
        <v>10</v>
      </c>
      <c r="G15" s="11">
        <f>AVERAGEIFS(
[1]!tbl_experiment[revenue_30d],
[1]!tbl_experiment[experiment_group],
"Treatment")</f>
        <v>53.875118881118873</v>
      </c>
      <c r="I15" s="7" t="s">
        <v>10</v>
      </c>
      <c r="K15" s="11">
        <f>AVERAGEIFS(
[1]!tbl_experiment[revenue_30d],
[1]!tbl_experiment[experiment_group],"Treatment",
[1]!tbl_experiment[converted_to_paid],1)</f>
        <v>770.41419999999982</v>
      </c>
      <c r="M15" s="7" t="s">
        <v>10</v>
      </c>
      <c r="O15" s="9">
        <f>AVERAGEIFS(
[1]!tbl_experiment[refund_requested],
[1]!tbl_experiment[experiment_group],
"Treatment")</f>
        <v>4.1958041958041958E-3</v>
      </c>
      <c r="Q15" s="7" t="s">
        <v>10</v>
      </c>
      <c r="S15" s="9">
        <v>0.24759999999999999</v>
      </c>
    </row>
    <row r="19" spans="1:17" x14ac:dyDescent="0.35">
      <c r="A19" s="3" t="s">
        <v>16</v>
      </c>
      <c r="B19" s="3"/>
      <c r="C19" s="3"/>
      <c r="E19" s="12" t="s">
        <v>17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35">
      <c r="E20" s="13" t="s">
        <v>18</v>
      </c>
      <c r="F20" s="13"/>
      <c r="G20" s="13"/>
      <c r="H20" s="13"/>
      <c r="I20" s="13"/>
      <c r="J20" s="13" t="s">
        <v>9</v>
      </c>
      <c r="K20" s="13"/>
      <c r="L20" s="13" t="s">
        <v>10</v>
      </c>
      <c r="M20" s="13"/>
      <c r="N20" s="13" t="s">
        <v>19</v>
      </c>
      <c r="O20" s="13"/>
      <c r="P20" s="13" t="s">
        <v>20</v>
      </c>
      <c r="Q20" s="13"/>
    </row>
    <row r="21" spans="1:17" x14ac:dyDescent="0.35">
      <c r="A21" s="4" t="s">
        <v>8</v>
      </c>
      <c r="B21" s="4"/>
      <c r="C21" s="6" t="s">
        <v>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35">
      <c r="A22" s="7" t="s">
        <v>9</v>
      </c>
      <c r="C22" s="10">
        <f>AVERAGEIFS(
[1]!tbl_experiment[days_to_convert],
[1]!tbl_experiment[experiment_group],
"Control")</f>
        <v>8.8636363636363633</v>
      </c>
      <c r="E22" s="14" t="s">
        <v>21</v>
      </c>
      <c r="F22" s="14"/>
      <c r="G22" s="14"/>
      <c r="H22" s="14"/>
      <c r="J22" s="15">
        <f>C6</f>
        <v>693</v>
      </c>
      <c r="K22" s="15"/>
      <c r="L22" s="15">
        <f>C7</f>
        <v>715</v>
      </c>
      <c r="M22" s="15"/>
      <c r="N22" s="16">
        <f t="shared" ref="N22:N32" si="0">L22-J22</f>
        <v>22</v>
      </c>
      <c r="O22" s="16"/>
      <c r="P22" s="17" t="str">
        <f t="shared" ref="P22:P28" si="1">IF(N22&gt;0,"▲ Improved","▼ Declined")</f>
        <v>▲ Improved</v>
      </c>
      <c r="Q22" s="17"/>
    </row>
    <row r="23" spans="1:17" x14ac:dyDescent="0.35">
      <c r="A23" s="7" t="s">
        <v>10</v>
      </c>
      <c r="C23" s="10">
        <f>AVERAGEIFS(
[1]!tbl_experiment[days_to_convert],
[1]!tbl_experiment[experiment_group],
"Treatment")</f>
        <v>6.4</v>
      </c>
      <c r="E23" s="14" t="s">
        <v>22</v>
      </c>
      <c r="F23" s="14"/>
      <c r="G23" s="14"/>
      <c r="H23" s="14"/>
      <c r="J23" s="18">
        <f>G6</f>
        <v>0.63636363636363635</v>
      </c>
      <c r="K23" s="15"/>
      <c r="L23" s="18">
        <f>G7</f>
        <v>0.72587412587412592</v>
      </c>
      <c r="M23" s="15"/>
      <c r="N23" s="19">
        <f t="shared" si="0"/>
        <v>8.9510489510489566E-2</v>
      </c>
      <c r="O23" s="16"/>
      <c r="P23" s="20" t="str">
        <f t="shared" si="1"/>
        <v>▲ Improved</v>
      </c>
      <c r="Q23" s="17"/>
    </row>
    <row r="24" spans="1:17" x14ac:dyDescent="0.35">
      <c r="E24" s="14" t="s">
        <v>23</v>
      </c>
      <c r="F24" s="14"/>
      <c r="G24" s="14"/>
      <c r="H24" s="14"/>
      <c r="J24" s="18">
        <f>K6</f>
        <v>0.25108225108225107</v>
      </c>
      <c r="K24" s="15"/>
      <c r="L24" s="18">
        <f>K7</f>
        <v>0.29090909090909089</v>
      </c>
      <c r="M24" s="15"/>
      <c r="N24" s="19">
        <f t="shared" si="0"/>
        <v>3.9826839826839822E-2</v>
      </c>
      <c r="O24" s="16"/>
      <c r="P24" s="20" t="str">
        <f t="shared" si="1"/>
        <v>▲ Improved</v>
      </c>
      <c r="Q24" s="17"/>
    </row>
    <row r="25" spans="1:17" x14ac:dyDescent="0.35">
      <c r="E25" s="14" t="s">
        <v>24</v>
      </c>
      <c r="F25" s="14"/>
      <c r="G25" s="14"/>
      <c r="H25" s="14"/>
      <c r="J25" s="18">
        <f>O6</f>
        <v>0.15584415584415584</v>
      </c>
      <c r="K25" s="15"/>
      <c r="L25" s="18">
        <f>O7</f>
        <v>0.21258741258741259</v>
      </c>
      <c r="M25" s="15"/>
      <c r="N25" s="19">
        <f t="shared" si="0"/>
        <v>5.6743256743256754E-2</v>
      </c>
      <c r="O25" s="16"/>
      <c r="P25" s="20" t="str">
        <f t="shared" si="1"/>
        <v>▲ Improved</v>
      </c>
      <c r="Q25" s="17"/>
    </row>
    <row r="26" spans="1:17" x14ac:dyDescent="0.35">
      <c r="E26" s="14" t="s">
        <v>25</v>
      </c>
      <c r="F26" s="14"/>
      <c r="G26" s="14"/>
      <c r="H26" s="14"/>
      <c r="J26" s="18">
        <f>S6</f>
        <v>3.1746031746031744E-2</v>
      </c>
      <c r="K26" s="15"/>
      <c r="L26" s="18">
        <f>S7</f>
        <v>6.9930069930069935E-2</v>
      </c>
      <c r="M26" s="15"/>
      <c r="N26" s="19">
        <f t="shared" si="0"/>
        <v>3.8184038184038191E-2</v>
      </c>
      <c r="O26" s="16"/>
      <c r="P26" s="20" t="str">
        <f t="shared" si="1"/>
        <v>▲ Improved</v>
      </c>
      <c r="Q26" s="17"/>
    </row>
    <row r="27" spans="1:17" x14ac:dyDescent="0.35">
      <c r="E27" s="14" t="s">
        <v>26</v>
      </c>
      <c r="F27" s="14"/>
      <c r="G27" s="14"/>
      <c r="H27" s="14"/>
      <c r="J27" s="21">
        <f>G14</f>
        <v>51.74932178932179</v>
      </c>
      <c r="K27" s="15"/>
      <c r="L27" s="21">
        <f>G15</f>
        <v>53.875118881118873</v>
      </c>
      <c r="M27" s="15"/>
      <c r="N27" s="22">
        <f t="shared" si="0"/>
        <v>2.1257970917970823</v>
      </c>
      <c r="O27" s="16"/>
      <c r="P27" s="23" t="str">
        <f t="shared" si="1"/>
        <v>▲ Improved</v>
      </c>
      <c r="Q27" s="17"/>
    </row>
    <row r="28" spans="1:17" x14ac:dyDescent="0.35">
      <c r="E28" s="14" t="s">
        <v>27</v>
      </c>
      <c r="F28" s="14"/>
      <c r="G28" s="14"/>
      <c r="H28" s="14"/>
      <c r="J28" s="24">
        <f>K14</f>
        <v>1630.1036363636363</v>
      </c>
      <c r="K28" s="15"/>
      <c r="L28" s="24">
        <f>K15</f>
        <v>770.41419999999982</v>
      </c>
      <c r="M28" s="15"/>
      <c r="N28" s="25">
        <f t="shared" si="0"/>
        <v>-859.68943636363645</v>
      </c>
      <c r="O28" s="16"/>
      <c r="P28" s="26" t="str">
        <f t="shared" si="1"/>
        <v>▼ Declined</v>
      </c>
      <c r="Q28" s="17"/>
    </row>
    <row r="29" spans="1:17" x14ac:dyDescent="0.35">
      <c r="E29" s="14" t="s">
        <v>28</v>
      </c>
      <c r="F29" s="14"/>
      <c r="G29" s="14"/>
      <c r="H29" s="14"/>
      <c r="J29" s="18">
        <f>O14</f>
        <v>0</v>
      </c>
      <c r="K29" s="15"/>
      <c r="L29" s="18">
        <f>O15</f>
        <v>4.1958041958041958E-3</v>
      </c>
      <c r="M29" s="15"/>
      <c r="N29" s="19">
        <f t="shared" si="0"/>
        <v>4.1958041958041958E-3</v>
      </c>
      <c r="O29" s="16"/>
      <c r="P29" s="20" t="str">
        <f>IF(N29&lt;0,"▲ Improved","▼ Declined")</f>
        <v>▼ Declined</v>
      </c>
      <c r="Q29" s="17"/>
    </row>
    <row r="30" spans="1:17" x14ac:dyDescent="0.35">
      <c r="E30" s="14" t="s">
        <v>29</v>
      </c>
      <c r="F30" s="14"/>
      <c r="G30" s="14"/>
      <c r="H30" s="14"/>
      <c r="J30" s="18">
        <f>S14</f>
        <v>0.1472</v>
      </c>
      <c r="K30" s="15"/>
      <c r="L30" s="18">
        <f>S15</f>
        <v>0.24759999999999999</v>
      </c>
      <c r="M30" s="15"/>
      <c r="N30" s="19">
        <f t="shared" si="0"/>
        <v>0.10039999999999999</v>
      </c>
      <c r="O30" s="16"/>
      <c r="P30" s="20" t="str">
        <f>IF(N30&lt;0,"▲ Improved","▼ Declined")</f>
        <v>▼ Declined</v>
      </c>
      <c r="Q30" s="17"/>
    </row>
    <row r="31" spans="1:17" x14ac:dyDescent="0.35">
      <c r="E31" s="14" t="s">
        <v>30</v>
      </c>
      <c r="F31" s="14"/>
      <c r="G31" s="14"/>
      <c r="H31" s="14"/>
      <c r="J31" s="21">
        <f>C14</f>
        <v>57.026200873362491</v>
      </c>
      <c r="K31" s="15"/>
      <c r="L31" s="21">
        <f>C15</f>
        <v>62.931966053748233</v>
      </c>
      <c r="M31" s="15"/>
      <c r="N31" s="22">
        <f t="shared" si="0"/>
        <v>5.9057651803857425</v>
      </c>
      <c r="O31" s="16"/>
      <c r="P31" s="23" t="str">
        <f>IF(N31&gt;0,"▲ Improved","▼ Declined")</f>
        <v>▲ Improved</v>
      </c>
      <c r="Q31" s="17"/>
    </row>
    <row r="32" spans="1:17" x14ac:dyDescent="0.35">
      <c r="E32" s="14" t="s">
        <v>31</v>
      </c>
      <c r="F32" s="14"/>
      <c r="G32" s="14"/>
      <c r="H32" s="14"/>
      <c r="J32" s="21">
        <f>C22</f>
        <v>8.8636363636363633</v>
      </c>
      <c r="K32" s="15"/>
      <c r="L32" s="21">
        <f>C23</f>
        <v>6.4</v>
      </c>
      <c r="M32" s="15"/>
      <c r="N32" s="22">
        <f t="shared" si="0"/>
        <v>-2.463636363636363</v>
      </c>
      <c r="O32" s="16"/>
      <c r="P32" s="23" t="str">
        <f>IF(N32&lt;0,"▲ Improved","▼ Declined")</f>
        <v>▲ Improved</v>
      </c>
      <c r="Q32" s="17"/>
    </row>
  </sheetData>
  <mergeCells count="73">
    <mergeCell ref="E31:H31"/>
    <mergeCell ref="J31:K31"/>
    <mergeCell ref="L31:M31"/>
    <mergeCell ref="N31:O31"/>
    <mergeCell ref="P31:Q31"/>
    <mergeCell ref="E32:H32"/>
    <mergeCell ref="J32:K32"/>
    <mergeCell ref="L32:M32"/>
    <mergeCell ref="N32:O32"/>
    <mergeCell ref="P32:Q32"/>
    <mergeCell ref="E29:H29"/>
    <mergeCell ref="J29:K29"/>
    <mergeCell ref="L29:M29"/>
    <mergeCell ref="N29:O29"/>
    <mergeCell ref="P29:Q29"/>
    <mergeCell ref="E30:H30"/>
    <mergeCell ref="J30:K30"/>
    <mergeCell ref="L30:M30"/>
    <mergeCell ref="N30:O30"/>
    <mergeCell ref="P30:Q30"/>
    <mergeCell ref="E27:H27"/>
    <mergeCell ref="J27:K27"/>
    <mergeCell ref="L27:M27"/>
    <mergeCell ref="N27:O27"/>
    <mergeCell ref="P27:Q27"/>
    <mergeCell ref="E28:H28"/>
    <mergeCell ref="J28:K28"/>
    <mergeCell ref="L28:M28"/>
    <mergeCell ref="N28:O28"/>
    <mergeCell ref="P28:Q28"/>
    <mergeCell ref="E25:H25"/>
    <mergeCell ref="J25:K25"/>
    <mergeCell ref="L25:M25"/>
    <mergeCell ref="N25:O25"/>
    <mergeCell ref="P25:Q25"/>
    <mergeCell ref="E26:H26"/>
    <mergeCell ref="J26:K26"/>
    <mergeCell ref="L26:M26"/>
    <mergeCell ref="N26:O26"/>
    <mergeCell ref="P26:Q26"/>
    <mergeCell ref="E23:H23"/>
    <mergeCell ref="J23:K23"/>
    <mergeCell ref="L23:M23"/>
    <mergeCell ref="N23:O23"/>
    <mergeCell ref="P23:Q23"/>
    <mergeCell ref="E24:H24"/>
    <mergeCell ref="J24:K24"/>
    <mergeCell ref="L24:M24"/>
    <mergeCell ref="N24:O24"/>
    <mergeCell ref="P24:Q24"/>
    <mergeCell ref="E20:I21"/>
    <mergeCell ref="J20:K21"/>
    <mergeCell ref="L20:M21"/>
    <mergeCell ref="N20:O21"/>
    <mergeCell ref="P20:Q21"/>
    <mergeCell ref="E22:H22"/>
    <mergeCell ref="J22:K22"/>
    <mergeCell ref="L22:M22"/>
    <mergeCell ref="N22:O22"/>
    <mergeCell ref="P22:Q22"/>
    <mergeCell ref="A11:C11"/>
    <mergeCell ref="E11:G11"/>
    <mergeCell ref="I11:K11"/>
    <mergeCell ref="M11:O11"/>
    <mergeCell ref="Q11:S11"/>
    <mergeCell ref="A19:C19"/>
    <mergeCell ref="E19:Q19"/>
    <mergeCell ref="A1:T1"/>
    <mergeCell ref="A3:C3"/>
    <mergeCell ref="E3:G3"/>
    <mergeCell ref="I3:K3"/>
    <mergeCell ref="M3:O3"/>
    <mergeCell ref="Q3:S3"/>
  </mergeCells>
  <conditionalFormatting sqref="P22:Q32">
    <cfRule type="containsText" dxfId="1" priority="1" operator="containsText" text="Declined">
      <formula>NOT(ISERROR(SEARCH("Declined",P22)))</formula>
    </cfRule>
    <cfRule type="containsText" dxfId="0" priority="2" operator="containsText" text="Improved">
      <formula>NOT(ISERROR(SEARCH("Improved",P22)))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experiment_summary_report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Nateshi Babbilwar</dc:creator>
  <cp:lastModifiedBy>Nateshi Babbilwar</cp:lastModifiedBy>
  <dcterms:created xsi:type="dcterms:W3CDTF">2026-06-24T18:33:35Z</dcterms:created>
  <dcterms:modified xsi:type="dcterms:W3CDTF">2026-06-28T16:28:39Z</dcterms:modified>
</cp:coreProperties>
</file>